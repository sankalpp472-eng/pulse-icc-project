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315bff7a035320d/Documents/iisc_ICC/Pulse-project1/workloads/"/>
    </mc:Choice>
  </mc:AlternateContent>
  <xr:revisionPtr revIDLastSave="0" documentId="11_A94DBC5F4CFAA33ECA5AE9F533477294A7A0029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Concurrent tasks" sheetId="1" r:id="rId1"/>
    <sheet name="2 Fan-out summary" sheetId="2" r:id="rId2"/>
  </sheets>
  <definedNames>
    <definedName name="_xlnm._FilterDatabase" localSheetId="0" hidden="1">'1 Concurrent tasks'!$A$1:$E$56</definedName>
  </definedNames>
  <calcPr calcId="191029"/>
</workbook>
</file>

<file path=xl/calcChain.xml><?xml version="1.0" encoding="utf-8"?>
<calcChain xmlns="http://schemas.openxmlformats.org/spreadsheetml/2006/main">
  <c r="E9" i="2" l="1"/>
  <c r="D9" i="2"/>
  <c r="F9" i="2" s="1"/>
  <c r="C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<sst xmlns="http://schemas.openxmlformats.org/spreadsheetml/2006/main" count="212" uniqueCount="139">
  <si>
    <t>Task no</t>
  </si>
  <si>
    <t>Small description</t>
  </si>
  <si>
    <t>After this tool</t>
  </si>
  <si>
    <t>Agent may call next</t>
  </si>
  <si>
    <t>When each branch happens</t>
  </si>
  <si>
    <t>Cancel every future reservation that has a flight over 3 h; upgrade the others to business where possible.</t>
  </si>
  <si>
    <t>START</t>
  </si>
  <si>
    <t>get_user_details</t>
  </si>
  <si>
    <t>get_user_details (12 of 12)</t>
  </si>
  <si>
    <t>get_reservation_details ×5 in parallel</t>
  </si>
  <si>
    <t>get_reservation_details ×5 in parallel: look up every reservation in the user's profile at once (12 of 12)</t>
  </si>
  <si>
    <t>cancel_reservation, search_direct_flight ×N in parallel (N = 2–11), transfer_to_human_agents, think</t>
  </si>
  <si>
    <t>cancel_reservation (5 of 12)
search_direct_flight ×N in parallel (N = 2–11): search several dates / routes at once (4 of 12)
transfer_to_human_agents: request outside policy (2 of 12)
think (1 of 12)</t>
  </si>
  <si>
    <t>search_direct_flight ×N in parallel (N = 2–11)</t>
  </si>
  <si>
    <t>cancel_reservation, think, update_reservation_flights, END, search_onestop_flight, search_direct_flight</t>
  </si>
  <si>
    <t>cancel_reservation (3 of 10)
think (2 of 10)
update_reservation_flights (2 of 10)
END: conversation ends (1 of 10)
search_onestop_flight (1 of 10)
search_direct_flight (1 of 10)</t>
  </si>
  <si>
    <t>think</t>
  </si>
  <si>
    <t>update_reservation_flights, cancel_reservation</t>
  </si>
  <si>
    <t>update_reservation_flights (3 of 5)
cancel_reservation (2 of 5)</t>
  </si>
  <si>
    <t>cancel_reservation</t>
  </si>
  <si>
    <t>search_direct_flight ×N in parallel (N = 2–11), cancel_reservation, END, search_onestop_flight, think</t>
  </si>
  <si>
    <t>search_direct_flight ×N in parallel (N = 2–11): search several dates / routes at once (4 of 14)
cancel_reservation (4 of 14)
END: conversation ends (3 of 14)
search_onestop_flight (2 of 14)
think (1 of 14)</t>
  </si>
  <si>
    <t>update_reservation_flights</t>
  </si>
  <si>
    <t>END, update_reservation_flights, search_direct_flight</t>
  </si>
  <si>
    <t>END: conversation ends (6 of 8)
update_reservation_flights (1 of 8)
search_direct_flight (1 of 8)</t>
  </si>
  <si>
    <t>search_onestop_flight</t>
  </si>
  <si>
    <t>search_direct_flight ×N in parallel (N = 2–11), search_direct_flight</t>
  </si>
  <si>
    <t>search_direct_flight ×N in parallel (N = 2–11): search several dates / routes at once (2 of 3)
search_direct_flight (1 of 3)</t>
  </si>
  <si>
    <t>search_direct_flight</t>
  </si>
  <si>
    <t>update_reservation_flights, think</t>
  </si>
  <si>
    <t>update_reservation_flights (2 of 3)
think (1 of 3)</t>
  </si>
  <si>
    <t>transfer_to_human_agents</t>
  </si>
  <si>
    <t>END</t>
  </si>
  <si>
    <t>END: conversation ends (2 of 2)</t>
  </si>
  <si>
    <t>Booked two flights on May 17 by mistake: cancel the ATL -&gt; JFK one (or else the other one).</t>
  </si>
  <si>
    <t>get_reservation_details ×N in parallel (N = 2–6)</t>
  </si>
  <si>
    <t>get_reservation_details ×N in parallel (N = 2–6): look up every reservation in the user's profile at once (12 of 12)</t>
  </si>
  <si>
    <t>cancel_reservation, END, get_reservation_details ×N in parallel (N = 2–6), get_reservation_details, transfer_to_human_agents</t>
  </si>
  <si>
    <t>cancel_reservation (5 of 14)
END: conversation ends (5 of 14)
get_reservation_details ×N in parallel (N = 2–6): look up every reservation in the user's profile at once (2 of 14)
get_reservation_details (1 of 14)
transfer_to_human_agents: request outside policy (1 of 14)</t>
  </si>
  <si>
    <t>END: conversation ends (6 of 6)</t>
  </si>
  <si>
    <t>get_reservation_details</t>
  </si>
  <si>
    <t>cancel_reservation (1 of 1)</t>
  </si>
  <si>
    <t>END: conversation ends (1 of 1)</t>
  </si>
  <si>
    <t>Find bookings on the same day in the profile and cancel one duplicate for each such day.</t>
  </si>
  <si>
    <t>get_reservation_details ×7 in parallel</t>
  </si>
  <si>
    <t>get_reservation_details ×7 in parallel: look up every reservation in the user's profile at once (12 of 12)</t>
  </si>
  <si>
    <t>cancel_reservation, transfer_to_human_agents</t>
  </si>
  <si>
    <t>cancel_reservation (11 of 12)
transfer_to_human_agents: request outside policy (1 of 12)</t>
  </si>
  <si>
    <t>cancel_reservation, END</t>
  </si>
  <si>
    <t>cancel_reservation (17 of 28)
END: conversation ends (11 of 28)</t>
  </si>
  <si>
    <t>Downgrade all business-class reservations to economy and report the total money saved.</t>
  </si>
  <si>
    <t>get_reservation_details ×N in parallel (N = 3–6), think</t>
  </si>
  <si>
    <t>get_reservation_details ×N in parallel (N = 3–6): look up every reservation in the user's profile at once (11 of 12)
think (1 of 12)</t>
  </si>
  <si>
    <t>get_reservation_details ×N in parallel (N = 3–6)</t>
  </si>
  <si>
    <t>update_reservation_flights, search_direct_flight ×N in parallel (N = 2–12), search_onestop_flight ×N in parallel (N = 2–3), think</t>
  </si>
  <si>
    <t>update_reservation_flights (7 of 12)
search_direct_flight ×N in parallel (N = 2–12): search several dates / routes at once (2 of 12)
search_onestop_flight ×N in parallel (N = 2–3): search several dates / routes at once (2 of 12)
think (1 of 12)</t>
  </si>
  <si>
    <t>update_reservation_flights, END, calculate</t>
  </si>
  <si>
    <t>update_reservation_flights (39 of 51)
END: conversation ends (10 of 51)
calculate (2 of 51)</t>
  </si>
  <si>
    <t>calculate</t>
  </si>
  <si>
    <t>END, update_reservation_flights</t>
  </si>
  <si>
    <t>END: conversation ends (2 of 4)
update_reservation_flights (2 of 4)</t>
  </si>
  <si>
    <t>search_direct_flight ×N in parallel (N = 2–12), get_reservation_details ×N in parallel (N = 3–6), update_reservation_flights</t>
  </si>
  <si>
    <t>search_direct_flight ×N in parallel (N = 2–12): search several dates / routes at once (2 of 4)
get_reservation_details ×N in parallel (N = 3–6): look up every reservation in the user's profile at once (1 of 4)
update_reservation_flights (1 of 4)</t>
  </si>
  <si>
    <t>search_direct_flight ×N in parallel (N = 2–12)</t>
  </si>
  <si>
    <t>calculate, update_reservation_flights, search_onestop_flight ×N in parallel (N = 2–3)</t>
  </si>
  <si>
    <t>calculate (2 of 4)
update_reservation_flights (1 of 4)
search_onestop_flight ×N in parallel (N = 2–3): search several dates / routes at once (1 of 4)</t>
  </si>
  <si>
    <t>search_onestop_flight ×N in parallel (N = 2–3)</t>
  </si>
  <si>
    <t>think, update_reservation_flights</t>
  </si>
  <si>
    <t>think (2 of 3)
update_reservation_flights (1 of 3)</t>
  </si>
  <si>
    <t>Change the Houston -&gt; Denver return to the fastest same-day trip, add a checked bag, pay with the smallest gift card.</t>
  </si>
  <si>
    <t>get_reservation_details ×N in parallel (N = 3–7)</t>
  </si>
  <si>
    <t>get_reservation_details ×N in parallel (N = 3–7): look up every reservation in the user's profile at once (12 of 12)</t>
  </si>
  <si>
    <t>search_direct_flight, search_onestop_flight</t>
  </si>
  <si>
    <t>search_direct_flight (10 of 12)
search_onestop_flight (2 of 12)</t>
  </si>
  <si>
    <t>search_onestop_flight (10 of 10)</t>
  </si>
  <si>
    <t>update_reservation_flights (10 of 13)
think (3 of 13)</t>
  </si>
  <si>
    <t>calculate ×N in parallel (N = 2–3), update_reservation_flights</t>
  </si>
  <si>
    <t>calculate ×N in parallel (N = 2–3): price several options at once (3 of 4)
update_reservation_flights (1 of 4)</t>
  </si>
  <si>
    <t>calculate ×N in parallel (N = 2–3)</t>
  </si>
  <si>
    <t>update_reservation_flights (3 of 3)</t>
  </si>
  <si>
    <t>update_reservation_flights, update_reservation_baggages, END, think, search_onestop_flight</t>
  </si>
  <si>
    <t>update_reservation_flights (12 of 26)
update_reservation_baggages (9 of 26)
END: conversation ends (3 of 26)
think (1 of 26)
search_onestop_flight (1 of 26)</t>
  </si>
  <si>
    <t>update_reservation_baggages</t>
  </si>
  <si>
    <t>END, update_reservation_baggages</t>
  </si>
  <si>
    <t>END: conversation ends (9 of 15)
update_reservation_baggages (6 of 15)</t>
  </si>
  <si>
    <t>Cancel all upcoming flights, even those without a refund.</t>
  </si>
  <si>
    <t>get_reservation_details ×N in parallel (N = 2–7), get_reservation_details</t>
  </si>
  <si>
    <t>get_reservation_details ×N in parallel (N = 2–7): look up every reservation in the user's profile at once (10 of 12)
get_reservation_details (2 of 12)</t>
  </si>
  <si>
    <t>get_reservation_details ×N in parallel (N = 2–7)</t>
  </si>
  <si>
    <t>cancel_reservation, think, END</t>
  </si>
  <si>
    <t>cancel_reservation (12 of 14)
think (1 of 14)
END: conversation ends (1 of 14)</t>
  </si>
  <si>
    <t>cancel_reservation, END, transfer_to_human_agents, get_reservation_details ×N in parallel (N = 2–7), get_reservation_details</t>
  </si>
  <si>
    <t>cancel_reservation (25 of 40)
END: conversation ends (7 of 40)
transfer_to_human_agents: request outside policy (4 of 40)
get_reservation_details ×N in parallel (N = 2–7): look up every reservation in the user's profile at once (3 of 40)
get_reservation_details (1 of 40)</t>
  </si>
  <si>
    <t>END: conversation ends (4 of 4)</t>
  </si>
  <si>
    <t>cancel_reservation, get_reservation_details ×N in parallel (N = 2–7)</t>
  </si>
  <si>
    <t>cancel_reservation (2 of 3)
get_reservation_details ×N in parallel (N = 2–7): look up every reservation in the user's profile at once (1 of 3)</t>
  </si>
  <si>
    <t>Cancel reservations XEHM4B and 59XX6W (upgrade basic economy first), then total the cost of the other upcoming flights.</t>
  </si>
  <si>
    <t>get_reservation_details ×N in parallel (N = 2–4)</t>
  </si>
  <si>
    <t>get_reservation_details ×N in parallel (N = 2–4): look up every reservation in the user's profile at once (12 of 12)</t>
  </si>
  <si>
    <t>get_user_details, think, cancel_reservation, calculate, END, transfer_to_human_agents</t>
  </si>
  <si>
    <t>get_user_details (9 of 23)
think (6 of 23)
cancel_reservation (5 of 23)
calculate (1 of 23)
END: conversation ends (1 of 23)
transfer_to_human_agents: request outside policy (1 of 23)</t>
  </si>
  <si>
    <t>update_reservation_flights, search_direct_flight ×2 in parallel, get_user_details, calculate, get_reservation_details ×N in parallel (N = 2–4), cancel_reservation</t>
  </si>
  <si>
    <t>update_reservation_flights (3 of 9)
search_direct_flight ×2 in parallel: search several dates / routes at once (2 of 9)
get_user_details (1 of 9)
calculate (1 of 9)
get_reservation_details ×N in parallel (N = 2–4): look up every reservation in the user's profile at once (1 of 9)
cancel_reservation (1 of 9)</t>
  </si>
  <si>
    <t>get_reservation_details ×N in parallel (N = 2–4), update_reservation_flights, get_reservation_details, search_direct_flight ×2 in parallel, think</t>
  </si>
  <si>
    <t>get_reservation_details ×N in parallel (N = 2–4): look up every reservation in the user's profile at once (4 of 14)
update_reservation_flights (4 of 14)
get_reservation_details (2 of 14)
search_direct_flight ×2 in parallel: search several dates / routes at once (2 of 14)
think (2 of 14)</t>
  </si>
  <si>
    <t>cancel_reservation, get_reservation_details ×N in parallel (N = 2–4), get_user_details, think</t>
  </si>
  <si>
    <t>cancel_reservation (6 of 12)
get_reservation_details ×N in parallel (N = 2–4): look up every reservation in the user's profile at once (3 of 12)
get_user_details (2 of 12)
think (1 of 12)</t>
  </si>
  <si>
    <t>cancel_reservation, END, get_reservation_details ×N in parallel (N = 2–4), get_user_details, transfer_to_human_agents</t>
  </si>
  <si>
    <t>cancel_reservation (7 of 20)
END: conversation ends (6 of 20)
get_reservation_details ×N in parallel (N = 2–4): look up every reservation in the user's profile at once (3 of 20)
get_user_details (2 of 20)
transfer_to_human_agents: request outside policy (2 of 20)</t>
  </si>
  <si>
    <t>update_reservation_flights, END</t>
  </si>
  <si>
    <t>update_reservation_flights (1 of 2)
END: conversation ends (1 of 2)</t>
  </si>
  <si>
    <t>cancel_reservation (1 of 2)
END: conversation ends (1 of 2)</t>
  </si>
  <si>
    <t>search_direct_flight ×2 in parallel</t>
  </si>
  <si>
    <t>update_reservation_flights (4 of 4)</t>
  </si>
  <si>
    <t>END: conversation ends (3 of 3)</t>
  </si>
  <si>
    <t>How to read: each row is one step of the task's workflow graph, built from the 12 recorded tau-bench runs of the task (4 gpt-4o + 8 claude-3.5-sonnet). '(k of n)' = how often that branch was taken from this step.</t>
  </si>
  <si>
    <t>Red 'xN in parallel' steps: the agent calls the same read-only tool N times at once (one per reservation, date, ...). w1_replay.py --fanout fires these calls together; Knative (containerConcurrency 1) then starts N pods.</t>
  </si>
  <si>
    <t>Parallel step = back-to-back calls of one read-only tool, no customer turn between them, different arguments, and no call using a value that first appeared in another call's result (checked by re-running each trace on a copy of the database).</t>
  </si>
  <si>
    <t>Source: tau-bench historical trajectories (sierra-research/tau-bench), airline domain. Built by workloads/build_concurrent_workloads_xlsx.py.</t>
  </si>
  <si>
    <t>Recorded runs</t>
  </si>
  <si>
    <t>Tool calls (all runs)</t>
  </si>
  <si>
    <t>Calls inside parallel steps</t>
  </si>
  <si>
    <t>Share of calls in parallel steps</t>
  </si>
  <si>
    <t>Parallel steps (tool: widths seen)</t>
  </si>
  <si>
    <t>Runs with a parallel step</t>
  </si>
  <si>
    <t>get_reservation_details: 5, 5, 5, 5, 5, 5, 5, 5, 5, 5, 5, 5
search_direct_flight: 2, 2, 2, 3, 3, 4, 4, 5, 11, 11</t>
  </si>
  <si>
    <t>search_direct_flight: 7 of 12
get_reservation_details: 12 of 12</t>
  </si>
  <si>
    <t>get_reservation_details: 2, 2, 3, 4, 4, 4, 4, 5, 6, 6, 6, 6, 6, 6</t>
  </si>
  <si>
    <t>get_reservation_details: 12 of 12</t>
  </si>
  <si>
    <t>get_reservation_details: 7, 7, 7, 7, 7, 7, 7, 7, 7, 7, 7, 7</t>
  </si>
  <si>
    <t>get_reservation_details: 3, 3, 3, 6, 6, 6, 6, 6, 6, 6, 6, 6
search_direct_flight: 2, 3, 6, 12
search_onestop_flight: 2, 2, 3</t>
  </si>
  <si>
    <t>get_reservation_details: 12 of 12
search_direct_flight: 4 of 12
search_onestop_flight: 2 of 12</t>
  </si>
  <si>
    <t>get_reservation_details: 3, 5, 5, 5, 5, 5, 5, 5, 5, 5, 7, 7
calculate: 2, 3, 3</t>
  </si>
  <si>
    <t>calculate: 3 of 12
get_reservation_details: 12 of 12</t>
  </si>
  <si>
    <t>get_reservation_details: 2, 2, 2, 3, 3, 3, 5, 5, 7, 7, 7, 7, 7, 7</t>
  </si>
  <si>
    <t>get_reservation_details: 2, 2, 2, 2, 2, 2, 2, 2, 2, 2, 2, 2, 3, 4, 4, 4, 4, 4, 4, 4, 4, 4, 4
search_direct_flight: 2, 2, 2, 2</t>
  </si>
  <si>
    <t>get_reservation_details: 12 of 12
search_direct_flight: 4 of 12</t>
  </si>
  <si>
    <t>All tasks</t>
  </si>
  <si>
    <t>Widths: how many calls one parallel step fires at once (one entry per step seen). Counts come from the recorded traces (hardcoded by the build script); the shares are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</si>
</sst>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  <xf numFmtId="0" fontId="3" fillId="0" borderId="0" xfId="0" applyFont="1"/>
    <xf numFmtId="9" fontId="3" fillId="0" borderId="0" xfId="0" applyNumberFormat="1" applyFont="1"/>
    <xf numFmtId="0" fontId="3" fillId="3" borderId="1" xfId="0" applyFont="1" applyFill="1" applyBorder="1" applyAlignment="1">
      <alignment vertical="top" wrapText="1"/>
    </xf>
    <xf numFmtId="0" fontId="0" fillId="0" borderId="0" xfId="0"/>
    <xf numFmtId="0" fontId="0" fillId="0" borderId="2" xfId="0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48" customWidth="1"/>
    <col min="3" max="3" width="40" customWidth="1"/>
    <col min="4" max="4" width="62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2">
        <v>33</v>
      </c>
      <c r="B2" s="15" t="s">
        <v>5</v>
      </c>
      <c r="C2" s="3" t="s">
        <v>6</v>
      </c>
      <c r="D2" s="3" t="s">
        <v>7</v>
      </c>
      <c r="E2" s="3" t="s">
        <v>8</v>
      </c>
    </row>
    <row r="3" spans="1:5" ht="26.4" x14ac:dyDescent="0.3">
      <c r="A3" s="13"/>
      <c r="B3" s="13"/>
      <c r="C3" s="3" t="s">
        <v>7</v>
      </c>
      <c r="D3" s="3" t="s">
        <v>9</v>
      </c>
      <c r="E3" s="3" t="s">
        <v>10</v>
      </c>
    </row>
    <row r="4" spans="1:5" ht="52.8" x14ac:dyDescent="0.3">
      <c r="A4" s="13"/>
      <c r="B4" s="13"/>
      <c r="C4" s="4" t="s">
        <v>9</v>
      </c>
      <c r="D4" s="3" t="s">
        <v>11</v>
      </c>
      <c r="E4" s="3" t="s">
        <v>12</v>
      </c>
    </row>
    <row r="5" spans="1:5" ht="79.2" x14ac:dyDescent="0.3">
      <c r="A5" s="13"/>
      <c r="B5" s="13"/>
      <c r="C5" s="4" t="s">
        <v>13</v>
      </c>
      <c r="D5" s="3" t="s">
        <v>14</v>
      </c>
      <c r="E5" s="3" t="s">
        <v>15</v>
      </c>
    </row>
    <row r="6" spans="1:5" ht="26.4" x14ac:dyDescent="0.3">
      <c r="A6" s="13"/>
      <c r="B6" s="13"/>
      <c r="C6" s="3" t="s">
        <v>16</v>
      </c>
      <c r="D6" s="3" t="s">
        <v>17</v>
      </c>
      <c r="E6" s="3" t="s">
        <v>18</v>
      </c>
    </row>
    <row r="7" spans="1:5" ht="66" x14ac:dyDescent="0.3">
      <c r="A7" s="13"/>
      <c r="B7" s="13"/>
      <c r="C7" s="3" t="s">
        <v>19</v>
      </c>
      <c r="D7" s="3" t="s">
        <v>20</v>
      </c>
      <c r="E7" s="3" t="s">
        <v>21</v>
      </c>
    </row>
    <row r="8" spans="1:5" ht="39.6" x14ac:dyDescent="0.3">
      <c r="A8" s="13"/>
      <c r="B8" s="13"/>
      <c r="C8" s="3" t="s">
        <v>22</v>
      </c>
      <c r="D8" s="3" t="s">
        <v>23</v>
      </c>
      <c r="E8" s="3" t="s">
        <v>24</v>
      </c>
    </row>
    <row r="9" spans="1:5" ht="26.4" x14ac:dyDescent="0.3">
      <c r="A9" s="13"/>
      <c r="B9" s="13"/>
      <c r="C9" s="3" t="s">
        <v>25</v>
      </c>
      <c r="D9" s="3" t="s">
        <v>26</v>
      </c>
      <c r="E9" s="3" t="s">
        <v>27</v>
      </c>
    </row>
    <row r="10" spans="1:5" ht="26.4" x14ac:dyDescent="0.3">
      <c r="A10" s="13"/>
      <c r="B10" s="13"/>
      <c r="C10" s="3" t="s">
        <v>28</v>
      </c>
      <c r="D10" s="3" t="s">
        <v>29</v>
      </c>
      <c r="E10" s="3" t="s">
        <v>30</v>
      </c>
    </row>
    <row r="11" spans="1:5" x14ac:dyDescent="0.3">
      <c r="A11" s="14"/>
      <c r="B11" s="14"/>
      <c r="C11" s="3" t="s">
        <v>31</v>
      </c>
      <c r="D11" s="3" t="s">
        <v>32</v>
      </c>
      <c r="E11" s="3" t="s">
        <v>33</v>
      </c>
    </row>
    <row r="12" spans="1:5" x14ac:dyDescent="0.3">
      <c r="A12" s="17">
        <v>31</v>
      </c>
      <c r="B12" s="16" t="s">
        <v>34</v>
      </c>
      <c r="C12" s="6" t="s">
        <v>6</v>
      </c>
      <c r="D12" s="6" t="s">
        <v>7</v>
      </c>
      <c r="E12" s="6" t="s">
        <v>8</v>
      </c>
    </row>
    <row r="13" spans="1:5" ht="26.4" x14ac:dyDescent="0.3">
      <c r="A13" s="13"/>
      <c r="B13" s="13"/>
      <c r="C13" s="6" t="s">
        <v>7</v>
      </c>
      <c r="D13" s="6" t="s">
        <v>35</v>
      </c>
      <c r="E13" s="6" t="s">
        <v>36</v>
      </c>
    </row>
    <row r="14" spans="1:5" ht="79.2" x14ac:dyDescent="0.3">
      <c r="A14" s="13"/>
      <c r="B14" s="13"/>
      <c r="C14" s="7" t="s">
        <v>35</v>
      </c>
      <c r="D14" s="6" t="s">
        <v>37</v>
      </c>
      <c r="E14" s="6" t="s">
        <v>38</v>
      </c>
    </row>
    <row r="15" spans="1:5" x14ac:dyDescent="0.3">
      <c r="A15" s="13"/>
      <c r="B15" s="13"/>
      <c r="C15" s="6" t="s">
        <v>19</v>
      </c>
      <c r="D15" s="6" t="s">
        <v>32</v>
      </c>
      <c r="E15" s="6" t="s">
        <v>39</v>
      </c>
    </row>
    <row r="16" spans="1:5" x14ac:dyDescent="0.3">
      <c r="A16" s="13"/>
      <c r="B16" s="13"/>
      <c r="C16" s="6" t="s">
        <v>40</v>
      </c>
      <c r="D16" s="6" t="s">
        <v>19</v>
      </c>
      <c r="E16" s="6" t="s">
        <v>41</v>
      </c>
    </row>
    <row r="17" spans="1:5" x14ac:dyDescent="0.3">
      <c r="A17" s="14"/>
      <c r="B17" s="14"/>
      <c r="C17" s="6" t="s">
        <v>31</v>
      </c>
      <c r="D17" s="6" t="s">
        <v>32</v>
      </c>
      <c r="E17" s="6" t="s">
        <v>42</v>
      </c>
    </row>
    <row r="18" spans="1:5" x14ac:dyDescent="0.3">
      <c r="A18" s="12">
        <v>30</v>
      </c>
      <c r="B18" s="15" t="s">
        <v>43</v>
      </c>
      <c r="C18" s="3" t="s">
        <v>6</v>
      </c>
      <c r="D18" s="3" t="s">
        <v>7</v>
      </c>
      <c r="E18" s="3" t="s">
        <v>8</v>
      </c>
    </row>
    <row r="19" spans="1:5" ht="26.4" x14ac:dyDescent="0.3">
      <c r="A19" s="13"/>
      <c r="B19" s="13"/>
      <c r="C19" s="3" t="s">
        <v>7</v>
      </c>
      <c r="D19" s="3" t="s">
        <v>44</v>
      </c>
      <c r="E19" s="3" t="s">
        <v>45</v>
      </c>
    </row>
    <row r="20" spans="1:5" ht="26.4" x14ac:dyDescent="0.3">
      <c r="A20" s="13"/>
      <c r="B20" s="13"/>
      <c r="C20" s="4" t="s">
        <v>44</v>
      </c>
      <c r="D20" s="3" t="s">
        <v>46</v>
      </c>
      <c r="E20" s="3" t="s">
        <v>47</v>
      </c>
    </row>
    <row r="21" spans="1:5" x14ac:dyDescent="0.3">
      <c r="A21" s="13"/>
      <c r="B21" s="13"/>
      <c r="C21" s="3" t="s">
        <v>31</v>
      </c>
      <c r="D21" s="3" t="s">
        <v>32</v>
      </c>
      <c r="E21" s="3" t="s">
        <v>42</v>
      </c>
    </row>
    <row r="22" spans="1:5" ht="26.4" x14ac:dyDescent="0.3">
      <c r="A22" s="14"/>
      <c r="B22" s="14"/>
      <c r="C22" s="3" t="s">
        <v>19</v>
      </c>
      <c r="D22" s="3" t="s">
        <v>48</v>
      </c>
      <c r="E22" s="3" t="s">
        <v>49</v>
      </c>
    </row>
    <row r="23" spans="1:5" x14ac:dyDescent="0.3">
      <c r="A23" s="17">
        <v>2</v>
      </c>
      <c r="B23" s="16" t="s">
        <v>50</v>
      </c>
      <c r="C23" s="6" t="s">
        <v>6</v>
      </c>
      <c r="D23" s="6" t="s">
        <v>7</v>
      </c>
      <c r="E23" s="6" t="s">
        <v>8</v>
      </c>
    </row>
    <row r="24" spans="1:5" ht="39.6" x14ac:dyDescent="0.3">
      <c r="A24" s="13"/>
      <c r="B24" s="13"/>
      <c r="C24" s="6" t="s">
        <v>7</v>
      </c>
      <c r="D24" s="6" t="s">
        <v>51</v>
      </c>
      <c r="E24" s="6" t="s">
        <v>52</v>
      </c>
    </row>
    <row r="25" spans="1:5" ht="52.8" x14ac:dyDescent="0.3">
      <c r="A25" s="13"/>
      <c r="B25" s="13"/>
      <c r="C25" s="7" t="s">
        <v>53</v>
      </c>
      <c r="D25" s="6" t="s">
        <v>54</v>
      </c>
      <c r="E25" s="6" t="s">
        <v>55</v>
      </c>
    </row>
    <row r="26" spans="1:5" ht="39.6" x14ac:dyDescent="0.3">
      <c r="A26" s="13"/>
      <c r="B26" s="13"/>
      <c r="C26" s="6" t="s">
        <v>22</v>
      </c>
      <c r="D26" s="6" t="s">
        <v>56</v>
      </c>
      <c r="E26" s="6" t="s">
        <v>57</v>
      </c>
    </row>
    <row r="27" spans="1:5" ht="26.4" x14ac:dyDescent="0.3">
      <c r="A27" s="13"/>
      <c r="B27" s="13"/>
      <c r="C27" s="6" t="s">
        <v>58</v>
      </c>
      <c r="D27" s="6" t="s">
        <v>59</v>
      </c>
      <c r="E27" s="6" t="s">
        <v>60</v>
      </c>
    </row>
    <row r="28" spans="1:5" ht="52.8" x14ac:dyDescent="0.3">
      <c r="A28" s="13"/>
      <c r="B28" s="13"/>
      <c r="C28" s="6" t="s">
        <v>16</v>
      </c>
      <c r="D28" s="6" t="s">
        <v>61</v>
      </c>
      <c r="E28" s="6" t="s">
        <v>62</v>
      </c>
    </row>
    <row r="29" spans="1:5" ht="39.6" x14ac:dyDescent="0.3">
      <c r="A29" s="13"/>
      <c r="B29" s="13"/>
      <c r="C29" s="7" t="s">
        <v>63</v>
      </c>
      <c r="D29" s="6" t="s">
        <v>64</v>
      </c>
      <c r="E29" s="6" t="s">
        <v>65</v>
      </c>
    </row>
    <row r="30" spans="1:5" ht="26.4" x14ac:dyDescent="0.3">
      <c r="A30" s="14"/>
      <c r="B30" s="14"/>
      <c r="C30" s="7" t="s">
        <v>66</v>
      </c>
      <c r="D30" s="6" t="s">
        <v>67</v>
      </c>
      <c r="E30" s="6" t="s">
        <v>68</v>
      </c>
    </row>
    <row r="31" spans="1:5" x14ac:dyDescent="0.3">
      <c r="A31" s="12">
        <v>3</v>
      </c>
      <c r="B31" s="15" t="s">
        <v>69</v>
      </c>
      <c r="C31" s="3" t="s">
        <v>6</v>
      </c>
      <c r="D31" s="3" t="s">
        <v>7</v>
      </c>
      <c r="E31" s="3" t="s">
        <v>8</v>
      </c>
    </row>
    <row r="32" spans="1:5" ht="26.4" x14ac:dyDescent="0.3">
      <c r="A32" s="13"/>
      <c r="B32" s="13"/>
      <c r="C32" s="3" t="s">
        <v>7</v>
      </c>
      <c r="D32" s="3" t="s">
        <v>70</v>
      </c>
      <c r="E32" s="3" t="s">
        <v>71</v>
      </c>
    </row>
    <row r="33" spans="1:5" ht="26.4" x14ac:dyDescent="0.3">
      <c r="A33" s="13"/>
      <c r="B33" s="13"/>
      <c r="C33" s="4" t="s">
        <v>70</v>
      </c>
      <c r="D33" s="3" t="s">
        <v>72</v>
      </c>
      <c r="E33" s="3" t="s">
        <v>73</v>
      </c>
    </row>
    <row r="34" spans="1:5" x14ac:dyDescent="0.3">
      <c r="A34" s="13"/>
      <c r="B34" s="13"/>
      <c r="C34" s="3" t="s">
        <v>28</v>
      </c>
      <c r="D34" s="3" t="s">
        <v>25</v>
      </c>
      <c r="E34" s="3" t="s">
        <v>74</v>
      </c>
    </row>
    <row r="35" spans="1:5" ht="26.4" x14ac:dyDescent="0.3">
      <c r="A35" s="13"/>
      <c r="B35" s="13"/>
      <c r="C35" s="3" t="s">
        <v>25</v>
      </c>
      <c r="D35" s="3" t="s">
        <v>29</v>
      </c>
      <c r="E35" s="3" t="s">
        <v>75</v>
      </c>
    </row>
    <row r="36" spans="1:5" ht="26.4" x14ac:dyDescent="0.3">
      <c r="A36" s="13"/>
      <c r="B36" s="13"/>
      <c r="C36" s="3" t="s">
        <v>16</v>
      </c>
      <c r="D36" s="3" t="s">
        <v>76</v>
      </c>
      <c r="E36" s="3" t="s">
        <v>77</v>
      </c>
    </row>
    <row r="37" spans="1:5" x14ac:dyDescent="0.3">
      <c r="A37" s="13"/>
      <c r="B37" s="13"/>
      <c r="C37" s="4" t="s">
        <v>78</v>
      </c>
      <c r="D37" s="3" t="s">
        <v>22</v>
      </c>
      <c r="E37" s="3" t="s">
        <v>79</v>
      </c>
    </row>
    <row r="38" spans="1:5" ht="66" x14ac:dyDescent="0.3">
      <c r="A38" s="13"/>
      <c r="B38" s="13"/>
      <c r="C38" s="3" t="s">
        <v>22</v>
      </c>
      <c r="D38" s="3" t="s">
        <v>80</v>
      </c>
      <c r="E38" s="3" t="s">
        <v>81</v>
      </c>
    </row>
    <row r="39" spans="1:5" ht="26.4" x14ac:dyDescent="0.3">
      <c r="A39" s="14"/>
      <c r="B39" s="14"/>
      <c r="C39" s="3" t="s">
        <v>82</v>
      </c>
      <c r="D39" s="3" t="s">
        <v>83</v>
      </c>
      <c r="E39" s="3" t="s">
        <v>84</v>
      </c>
    </row>
    <row r="40" spans="1:5" x14ac:dyDescent="0.3">
      <c r="A40" s="17">
        <v>28</v>
      </c>
      <c r="B40" s="16" t="s">
        <v>85</v>
      </c>
      <c r="C40" s="6" t="s">
        <v>6</v>
      </c>
      <c r="D40" s="6" t="s">
        <v>7</v>
      </c>
      <c r="E40" s="6" t="s">
        <v>8</v>
      </c>
    </row>
    <row r="41" spans="1:5" ht="39.6" x14ac:dyDescent="0.3">
      <c r="A41" s="13"/>
      <c r="B41" s="13"/>
      <c r="C41" s="6" t="s">
        <v>7</v>
      </c>
      <c r="D41" s="6" t="s">
        <v>86</v>
      </c>
      <c r="E41" s="6" t="s">
        <v>87</v>
      </c>
    </row>
    <row r="42" spans="1:5" ht="39.6" x14ac:dyDescent="0.3">
      <c r="A42" s="13"/>
      <c r="B42" s="13"/>
      <c r="C42" s="7" t="s">
        <v>88</v>
      </c>
      <c r="D42" s="6" t="s">
        <v>89</v>
      </c>
      <c r="E42" s="6" t="s">
        <v>90</v>
      </c>
    </row>
    <row r="43" spans="1:5" ht="79.2" x14ac:dyDescent="0.3">
      <c r="A43" s="13"/>
      <c r="B43" s="13"/>
      <c r="C43" s="6" t="s">
        <v>19</v>
      </c>
      <c r="D43" s="6" t="s">
        <v>91</v>
      </c>
      <c r="E43" s="6" t="s">
        <v>92</v>
      </c>
    </row>
    <row r="44" spans="1:5" x14ac:dyDescent="0.3">
      <c r="A44" s="13"/>
      <c r="B44" s="13"/>
      <c r="C44" s="6" t="s">
        <v>31</v>
      </c>
      <c r="D44" s="6" t="s">
        <v>32</v>
      </c>
      <c r="E44" s="6" t="s">
        <v>93</v>
      </c>
    </row>
    <row r="45" spans="1:5" x14ac:dyDescent="0.3">
      <c r="A45" s="13"/>
      <c r="B45" s="13"/>
      <c r="C45" s="6" t="s">
        <v>16</v>
      </c>
      <c r="D45" s="6" t="s">
        <v>19</v>
      </c>
      <c r="E45" s="6" t="s">
        <v>41</v>
      </c>
    </row>
    <row r="46" spans="1:5" ht="39.6" x14ac:dyDescent="0.3">
      <c r="A46" s="14"/>
      <c r="B46" s="14"/>
      <c r="C46" s="6" t="s">
        <v>40</v>
      </c>
      <c r="D46" s="6" t="s">
        <v>94</v>
      </c>
      <c r="E46" s="6" t="s">
        <v>95</v>
      </c>
    </row>
    <row r="47" spans="1:5" ht="26.4" x14ac:dyDescent="0.3">
      <c r="A47" s="12">
        <v>34</v>
      </c>
      <c r="B47" s="15" t="s">
        <v>96</v>
      </c>
      <c r="C47" s="3" t="s">
        <v>6</v>
      </c>
      <c r="D47" s="3" t="s">
        <v>97</v>
      </c>
      <c r="E47" s="3" t="s">
        <v>98</v>
      </c>
    </row>
    <row r="48" spans="1:5" ht="79.2" x14ac:dyDescent="0.3">
      <c r="A48" s="13"/>
      <c r="B48" s="13"/>
      <c r="C48" s="4" t="s">
        <v>97</v>
      </c>
      <c r="D48" s="3" t="s">
        <v>99</v>
      </c>
      <c r="E48" s="3" t="s">
        <v>100</v>
      </c>
    </row>
    <row r="49" spans="1:5" ht="92.4" x14ac:dyDescent="0.3">
      <c r="A49" s="13"/>
      <c r="B49" s="13"/>
      <c r="C49" s="3" t="s">
        <v>16</v>
      </c>
      <c r="D49" s="3" t="s">
        <v>101</v>
      </c>
      <c r="E49" s="3" t="s">
        <v>102</v>
      </c>
    </row>
    <row r="50" spans="1:5" ht="79.2" x14ac:dyDescent="0.3">
      <c r="A50" s="13"/>
      <c r="B50" s="13"/>
      <c r="C50" s="3" t="s">
        <v>7</v>
      </c>
      <c r="D50" s="3" t="s">
        <v>103</v>
      </c>
      <c r="E50" s="3" t="s">
        <v>104</v>
      </c>
    </row>
    <row r="51" spans="1:5" ht="66" x14ac:dyDescent="0.3">
      <c r="A51" s="13"/>
      <c r="B51" s="13"/>
      <c r="C51" s="3" t="s">
        <v>22</v>
      </c>
      <c r="D51" s="3" t="s">
        <v>105</v>
      </c>
      <c r="E51" s="3" t="s">
        <v>106</v>
      </c>
    </row>
    <row r="52" spans="1:5" ht="79.2" x14ac:dyDescent="0.3">
      <c r="A52" s="13"/>
      <c r="B52" s="13"/>
      <c r="C52" s="3" t="s">
        <v>19</v>
      </c>
      <c r="D52" s="3" t="s">
        <v>107</v>
      </c>
      <c r="E52" s="3" t="s">
        <v>108</v>
      </c>
    </row>
    <row r="53" spans="1:5" ht="26.4" x14ac:dyDescent="0.3">
      <c r="A53" s="13"/>
      <c r="B53" s="13"/>
      <c r="C53" s="3" t="s">
        <v>40</v>
      </c>
      <c r="D53" s="3" t="s">
        <v>109</v>
      </c>
      <c r="E53" s="3" t="s">
        <v>110</v>
      </c>
    </row>
    <row r="54" spans="1:5" ht="26.4" x14ac:dyDescent="0.3">
      <c r="A54" s="13"/>
      <c r="B54" s="13"/>
      <c r="C54" s="3" t="s">
        <v>58</v>
      </c>
      <c r="D54" s="3" t="s">
        <v>48</v>
      </c>
      <c r="E54" s="3" t="s">
        <v>111</v>
      </c>
    </row>
    <row r="55" spans="1:5" x14ac:dyDescent="0.3">
      <c r="A55" s="13"/>
      <c r="B55" s="13"/>
      <c r="C55" s="4" t="s">
        <v>112</v>
      </c>
      <c r="D55" s="3" t="s">
        <v>22</v>
      </c>
      <c r="E55" s="3" t="s">
        <v>113</v>
      </c>
    </row>
    <row r="56" spans="1:5" x14ac:dyDescent="0.3">
      <c r="A56" s="14"/>
      <c r="B56" s="14"/>
      <c r="C56" s="3" t="s">
        <v>31</v>
      </c>
      <c r="D56" s="3" t="s">
        <v>32</v>
      </c>
      <c r="E56" s="3" t="s">
        <v>114</v>
      </c>
    </row>
    <row r="58" spans="1:5" ht="28.05" customHeight="1" x14ac:dyDescent="0.3">
      <c r="A58" s="18" t="s">
        <v>115</v>
      </c>
      <c r="B58" s="13"/>
      <c r="C58" s="13"/>
      <c r="D58" s="13"/>
      <c r="E58" s="13"/>
    </row>
    <row r="59" spans="1:5" ht="28.05" customHeight="1" x14ac:dyDescent="0.3">
      <c r="A59" s="18" t="s">
        <v>116</v>
      </c>
      <c r="B59" s="13"/>
      <c r="C59" s="13"/>
      <c r="D59" s="13"/>
      <c r="E59" s="13"/>
    </row>
    <row r="60" spans="1:5" ht="28.05" customHeight="1" x14ac:dyDescent="0.3">
      <c r="A60" s="18" t="s">
        <v>117</v>
      </c>
      <c r="B60" s="13"/>
      <c r="C60" s="13"/>
      <c r="D60" s="13"/>
      <c r="E60" s="13"/>
    </row>
    <row r="61" spans="1:5" ht="28.05" customHeight="1" x14ac:dyDescent="0.3">
      <c r="A61" s="18" t="s">
        <v>118</v>
      </c>
      <c r="B61" s="13"/>
      <c r="C61" s="13"/>
      <c r="D61" s="13"/>
      <c r="E61" s="13"/>
    </row>
  </sheetData>
  <autoFilter ref="A1:E56" xr:uid="{00000000-0009-0000-0000-000000000000}"/>
  <mergeCells count="18">
    <mergeCell ref="B2:B11"/>
    <mergeCell ref="A2:A11"/>
    <mergeCell ref="A60:E60"/>
    <mergeCell ref="A23:A30"/>
    <mergeCell ref="B31:B39"/>
    <mergeCell ref="A47:A56"/>
    <mergeCell ref="A40:A46"/>
    <mergeCell ref="A31:A39"/>
    <mergeCell ref="B40:B46"/>
    <mergeCell ref="A58:E58"/>
    <mergeCell ref="A59:E59"/>
    <mergeCell ref="A61:E61"/>
    <mergeCell ref="B47:B56"/>
    <mergeCell ref="A18:A22"/>
    <mergeCell ref="B18:B22"/>
    <mergeCell ref="B23:B30"/>
    <mergeCell ref="A12:A17"/>
    <mergeCell ref="B12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48" customWidth="1"/>
    <col min="3" max="3" width="10" customWidth="1"/>
    <col min="4" max="4" width="12" customWidth="1"/>
    <col min="5" max="6" width="13" customWidth="1"/>
    <col min="7" max="7" width="46" customWidth="1"/>
    <col min="8" max="8" width="30" customWidth="1"/>
  </cols>
  <sheetData>
    <row r="1" spans="1:8" ht="55.2" x14ac:dyDescent="0.3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ht="26.4" x14ac:dyDescent="0.3">
      <c r="A2" s="2">
        <v>33</v>
      </c>
      <c r="B2" s="3" t="s">
        <v>5</v>
      </c>
      <c r="C2" s="3">
        <v>12</v>
      </c>
      <c r="D2" s="3">
        <v>154</v>
      </c>
      <c r="E2" s="3">
        <v>107</v>
      </c>
      <c r="F2" s="8">
        <f t="shared" ref="F2:F9" si="0">IF(D2=0,0,E2/D2)</f>
        <v>0.69480519480519476</v>
      </c>
      <c r="G2" s="3" t="s">
        <v>125</v>
      </c>
      <c r="H2" s="3" t="s">
        <v>126</v>
      </c>
    </row>
    <row r="3" spans="1:8" ht="26.4" x14ac:dyDescent="0.3">
      <c r="A3" s="5">
        <v>31</v>
      </c>
      <c r="B3" s="6" t="s">
        <v>34</v>
      </c>
      <c r="C3" s="6">
        <v>12</v>
      </c>
      <c r="D3" s="6">
        <v>84</v>
      </c>
      <c r="E3" s="6">
        <v>64</v>
      </c>
      <c r="F3" s="9">
        <f t="shared" si="0"/>
        <v>0.76190476190476186</v>
      </c>
      <c r="G3" s="6" t="s">
        <v>127</v>
      </c>
      <c r="H3" s="6" t="s">
        <v>128</v>
      </c>
    </row>
    <row r="4" spans="1:8" ht="26.4" x14ac:dyDescent="0.3">
      <c r="A4" s="2">
        <v>30</v>
      </c>
      <c r="B4" s="3" t="s">
        <v>43</v>
      </c>
      <c r="C4" s="3">
        <v>12</v>
      </c>
      <c r="D4" s="3">
        <v>125</v>
      </c>
      <c r="E4" s="3">
        <v>84</v>
      </c>
      <c r="F4" s="8">
        <f t="shared" si="0"/>
        <v>0.67200000000000004</v>
      </c>
      <c r="G4" s="3" t="s">
        <v>129</v>
      </c>
      <c r="H4" s="3" t="s">
        <v>128</v>
      </c>
    </row>
    <row r="5" spans="1:8" ht="39.6" x14ac:dyDescent="0.3">
      <c r="A5" s="5">
        <v>2</v>
      </c>
      <c r="B5" s="6" t="s">
        <v>50</v>
      </c>
      <c r="C5" s="6">
        <v>12</v>
      </c>
      <c r="D5" s="6">
        <v>164</v>
      </c>
      <c r="E5" s="6">
        <v>93</v>
      </c>
      <c r="F5" s="9">
        <f t="shared" si="0"/>
        <v>0.56707317073170727</v>
      </c>
      <c r="G5" s="6" t="s">
        <v>130</v>
      </c>
      <c r="H5" s="6" t="s">
        <v>131</v>
      </c>
    </row>
    <row r="6" spans="1:8" ht="39.6" x14ac:dyDescent="0.3">
      <c r="A6" s="2">
        <v>3</v>
      </c>
      <c r="B6" s="3" t="s">
        <v>69</v>
      </c>
      <c r="C6" s="3">
        <v>12</v>
      </c>
      <c r="D6" s="3">
        <v>150</v>
      </c>
      <c r="E6" s="3">
        <v>70</v>
      </c>
      <c r="F6" s="8">
        <f t="shared" si="0"/>
        <v>0.46666666666666667</v>
      </c>
      <c r="G6" s="3" t="s">
        <v>132</v>
      </c>
      <c r="H6" s="3" t="s">
        <v>133</v>
      </c>
    </row>
    <row r="7" spans="1:8" ht="26.4" x14ac:dyDescent="0.3">
      <c r="A7" s="5">
        <v>28</v>
      </c>
      <c r="B7" s="6" t="s">
        <v>85</v>
      </c>
      <c r="C7" s="6">
        <v>12</v>
      </c>
      <c r="D7" s="6">
        <v>127</v>
      </c>
      <c r="E7" s="6">
        <v>67</v>
      </c>
      <c r="F7" s="9">
        <f t="shared" si="0"/>
        <v>0.52755905511811019</v>
      </c>
      <c r="G7" s="6" t="s">
        <v>134</v>
      </c>
      <c r="H7" s="6" t="s">
        <v>128</v>
      </c>
    </row>
    <row r="8" spans="1:8" ht="39.6" x14ac:dyDescent="0.3">
      <c r="A8" s="2">
        <v>34</v>
      </c>
      <c r="B8" s="3" t="s">
        <v>96</v>
      </c>
      <c r="C8" s="3">
        <v>12</v>
      </c>
      <c r="D8" s="3">
        <v>137</v>
      </c>
      <c r="E8" s="3">
        <v>75</v>
      </c>
      <c r="F8" s="8">
        <f t="shared" si="0"/>
        <v>0.54744525547445255</v>
      </c>
      <c r="G8" s="3" t="s">
        <v>135</v>
      </c>
      <c r="H8" s="3" t="s">
        <v>136</v>
      </c>
    </row>
    <row r="9" spans="1:8" x14ac:dyDescent="0.3">
      <c r="B9" s="10" t="s">
        <v>137</v>
      </c>
      <c r="C9" s="10">
        <f>SUM(C2:C8)</f>
        <v>84</v>
      </c>
      <c r="D9" s="10">
        <f>SUM(D2:D8)</f>
        <v>941</v>
      </c>
      <c r="E9" s="10">
        <f>SUM(E2:E8)</f>
        <v>560</v>
      </c>
      <c r="F9" s="11">
        <f t="shared" si="0"/>
        <v>0.59511158342189163</v>
      </c>
    </row>
    <row r="11" spans="1:8" x14ac:dyDescent="0.3">
      <c r="A11" s="19" t="s">
        <v>138</v>
      </c>
      <c r="B11" s="13"/>
      <c r="C11" s="13"/>
      <c r="D11" s="13"/>
      <c r="E11" s="13"/>
      <c r="F11" s="13"/>
      <c r="G11" s="13"/>
      <c r="H11" s="13"/>
    </row>
  </sheetData>
  <mergeCells count="1"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Concurrent tasks</vt:lpstr>
      <vt:lpstr>2 Fan-out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 patel</cp:lastModifiedBy>
  <dcterms:created xsi:type="dcterms:W3CDTF">2026-10-25T11:13:36Z</dcterms:created>
  <dcterms:modified xsi:type="dcterms:W3CDTF">2026-10-25T11:13:55Z</dcterms:modified>
</cp:coreProperties>
</file>